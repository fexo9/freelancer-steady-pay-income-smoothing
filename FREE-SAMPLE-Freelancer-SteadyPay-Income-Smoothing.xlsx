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COME-FLOOR" sheetId="2" state="visible" r:id="rId2"/>
    <sheet xmlns:r="http://schemas.openxmlformats.org/officeDocument/2006/relationships" name="BUFFER-ENGINE" sheetId="3" state="visible" r:id="rId3"/>
    <sheet xmlns:r="http://schemas.openxmlformats.org/officeDocument/2006/relationships" name="TAX-RESERVE" sheetId="4" state="visible" r:id="rId4"/>
    <sheet xmlns:r="http://schemas.openxmlformats.org/officeDocument/2006/relationships" name="FEAST-FAMINE-PLAN" sheetId="5" state="visible" r:id="rId5"/>
    <sheet xmlns:r="http://schemas.openxmlformats.org/officeDocument/2006/relationships" name="RUNWAY-GAUGE" sheetId="6" state="visible" r:id="rId6"/>
    <sheet xmlns:r="http://schemas.openxmlformats.org/officeDocument/2006/relationships" name="MONTHLY-REVIEW" sheetId="7" state="visible" r:id="rId7"/>
    <sheet xmlns:r="http://schemas.openxmlformats.org/officeDocument/2006/relationships" name="WORKED-EXAMP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2E1A2F"/>
      <sz val="14"/>
    </font>
    <font>
      <i val="1"/>
      <color rgb="00555555"/>
      <sz val="10"/>
    </font>
    <font>
      <b val="1"/>
      <color rgb="002E1A2F"/>
      <sz val="11"/>
    </font>
    <font>
      <b val="1"/>
      <sz val="11"/>
    </font>
    <font>
      <color rgb="000563C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1A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0" borderId="1" pivotButton="0" quotePrefix="0" xfId="0"/>
    <xf numFmtId="164" fontId="0" fillId="3" borderId="1" pivotButton="0" quotePrefix="0" xfId="0"/>
    <xf numFmtId="1" fontId="0" fillId="0" borderId="1" pivotButton="0" quotePrefix="0" xfId="0"/>
    <xf numFmtId="164" fontId="0" fillId="0" borderId="1" pivotButton="0" quotePrefix="0" xfId="0"/>
    <xf numFmtId="9" fontId="0" fillId="3" borderId="1" pivotButton="0" quotePrefix="0" xfId="0"/>
    <xf numFmtId="164" fontId="4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vertical="top" wrapText="1"/>
    </xf>
    <xf numFmtId="9" fontId="4" fillId="0" borderId="0" pivotButton="0" quotePrefix="0" xfId="0"/>
    <xf numFmtId="9" fontId="0" fillId="0" borderId="1" pivotButton="0" quotePrefix="0" xfId="0"/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</cols>
  <sheetData>
    <row r="1">
      <c r="A1" s="1" t="inlineStr">
        <is>
          <t>Freelancer Steady-Pay Income Smoothing System</t>
        </is>
      </c>
    </row>
    <row r="2">
      <c r="A2" s="2" t="inlineStr">
        <is>
          <t>Turn lumpy freelance income into a fixed monthly salary.</t>
        </is>
      </c>
    </row>
    <row r="3"/>
    <row r="4">
      <c r="A4" s="3" t="inlineStr">
        <is>
          <t>Start here — 4 steps</t>
        </is>
      </c>
    </row>
    <row r="5">
      <c r="A5" s="2" t="inlineStr">
        <is>
          <t>1. Fill INCOME-FLOOR with your last 3–6 months of income. The sheet computes your average, your best month, and your recommended salary.</t>
        </is>
      </c>
    </row>
    <row r="6">
      <c r="A6" s="2" t="inlineStr">
        <is>
          <t>2. Set your tax rate on TAX-RESERVE, then log every payment you receive. Move the tax % the same day.</t>
        </is>
      </c>
    </row>
    <row r="7">
      <c r="A7" s="2" t="inlineStr">
        <is>
          <t>3. BUFFER-ENGINE tracks your buffer month by month. Pay yourself the fixed salary on the 1st — the sheet does the math.</t>
        </is>
      </c>
    </row>
    <row r="8">
      <c r="A8" s="2" t="inlineStr">
        <is>
          <t>4. Watch RUNWAY-GAUGE and run the MONTHLY-REVIEW checklist (30 minutes, once a month).</t>
        </is>
      </c>
    </row>
    <row r="9"/>
    <row r="10">
      <c r="A10" s="3" t="inlineStr">
        <is>
          <t>The 7 rules of steady pay</t>
        </is>
      </c>
    </row>
    <row r="11">
      <c r="A11" s="4" t="inlineStr">
        <is>
          <t>Every dollar you earn lands in the holding account first — never straight to spending.</t>
        </is>
      </c>
    </row>
    <row r="12">
      <c r="A12" s="4" t="inlineStr">
        <is>
          <t>Tax reserve of 25–30% moves to a separate account the day each payment arrives.</t>
        </is>
      </c>
    </row>
    <row r="13">
      <c r="A13" s="4" t="inlineStr">
        <is>
          <t>You pay yourself a fixed salary on the 1st (optional 1st + 15th split), sized from your income floor — never from your best month.</t>
        </is>
      </c>
    </row>
    <row r="14">
      <c r="A14" s="4" t="inlineStr">
        <is>
          <t>Feast month: taxes first, refill the buffer. No salary raise until the buffer held steady for months.</t>
        </is>
      </c>
    </row>
    <row r="15">
      <c r="A15" s="4" t="inlineStr">
        <is>
          <t>Famine month: salary unchanged, paid from the buffer. Chase overdue invoices, pause non-essentials.</t>
        </is>
      </c>
    </row>
    <row r="16">
      <c r="A16" s="4" t="inlineStr">
        <is>
          <t>Watch the runway: available cash ÷ monthly burn. Below 1 month of runway = act now.</t>
        </is>
      </c>
    </row>
    <row r="17">
      <c r="A17" s="4" t="inlineStr">
        <is>
          <t>30-minute money review every month; quarterly tax deadlines on the calendar.</t>
        </is>
      </c>
    </row>
    <row r="18"/>
    <row r="19">
      <c r="A19" s="3" t="inlineStr">
        <is>
          <t>Evidence — real freelancers, real numbers (quoting the published sources)</t>
        </is>
      </c>
    </row>
    <row r="20">
      <c r="A20" s="2" t="inlineStr">
        <is>
          <t>These are the sources' figures, not ours. We did not measure them.</t>
        </is>
      </c>
    </row>
    <row r="21">
      <c r="A21" s="5" t="inlineStr">
        <is>
          <t>Medium · @rkdigitalabs · Oct 2026</t>
        </is>
      </c>
    </row>
    <row r="22">
      <c r="A22" s="4" t="inlineStr">
        <is>
          <t>“March: $4,200. Three clients paid at once and you felt rich... April: $800... rent is $1,650, due on the 1st... Stop spending what you earn. Start paying yourself a salary. Every dollar you earn goes into the holding account first... on the 1st and the 15th, you transfer a fixed 'salary'... based on your average month minus a buffer, never your best month.”</t>
        </is>
      </c>
    </row>
    <row r="23">
      <c r="A23" s="6" t="inlineStr">
        <is>
          <t>https://medium.com/@rkdigitalabs/freelance-money-comes-in-waves-your-bills-come-like-clockwork-84cf797b98ba</t>
        </is>
      </c>
    </row>
    <row r="24">
      <c r="A24" s="5" t="inlineStr">
        <is>
          <t>Medium · uxchrisnguyen (13k+ subscribers)</t>
        </is>
      </c>
    </row>
    <row r="25">
      <c r="A25" s="4" t="inlineStr">
        <is>
          <t>“When a payment lands, decide ONCE how it gets allocated — 30% taxes gone immediately, 40% business reserves, 30% personal salary. Runway = available cash / monthly burn.”</t>
        </is>
      </c>
    </row>
    <row r="26">
      <c r="A26" s="6" t="inlineStr">
        <is>
          <t>https://uxchrisnguyen.medium.com/freelance-money-management-why-irregular-income-feels-like-a-crisis-and-how-to-fix-it-2aeaa7d6d1e7</t>
        </is>
      </c>
    </row>
    <row r="27">
      <c r="A27" s="5" t="inlineStr">
        <is>
          <t>Medium · @jaideepsawhney · Oct 2026</t>
        </is>
      </c>
    </row>
    <row r="28">
      <c r="A28" s="4" t="inlineStr">
        <is>
          <t>“Income smoothing means paying yourself the same amount every month from a buffer account, no matter how much you actually earned that month. Worked illustration: freelance UX writer, income $2,100–$11,800/mo, baseline $3,900; payments split 28% tax + rest to buffer; $4,200 salary paid on the 1st.”</t>
        </is>
      </c>
    </row>
    <row r="29">
      <c r="A29" s="6" t="inlineStr">
        <is>
          <t>https://jaideepsawhney.medium.com/how-to-budget-with-irregular-income-pay-yourself-a-salary-even-when-clients-pay-late-dc318637083c</t>
        </is>
      </c>
    </row>
    <row r="30">
      <c r="A30" s="5" t="inlineStr">
        <is>
          <t>Medium · @savesmartwithhammad · ~Sep 2026</t>
        </is>
      </c>
    </row>
    <row r="31">
      <c r="A31" s="4" t="inlineStr">
        <is>
          <t>“Per-payday ritual — tax set-aside first, then bills, savings, rest down a priority ladder; build a one-month buffer then 'pay' yourself a steady salary from it; feast-month surplus banked until buffer full.”</t>
        </is>
      </c>
    </row>
    <row r="32">
      <c r="A32" s="6" t="inlineStr">
        <is>
          <t>https://medium.com/@savesmartwithhammad/how-to-budget-on-irregular-income-freelancers-gig-workers-c0626a37dbe5</t>
        </is>
      </c>
    </row>
    <row r="33">
      <c r="A33" s="5" t="inlineStr">
        <is>
          <t>Harpoon (freelancer SaaS) · ~Sep 2026</t>
        </is>
      </c>
    </row>
    <row r="34">
      <c r="A34" s="4" t="inlineStr">
        <is>
          <t>“Feast months: pay your normal paycheck, not a bigger one; top up the emergency fund; build a business-account buffer. Famine months: paycheck stays the same, funded by the buffer; cut discretionary spending; chase invoices.”</t>
        </is>
      </c>
    </row>
    <row r="35">
      <c r="A35" s="6" t="inlineStr">
        <is>
          <t>https://harpoonapp.com/blog/freelance-income</t>
        </is>
      </c>
    </row>
    <row r="36"/>
    <row r="37">
      <c r="A37" s="2" t="inlineStr">
        <is>
          <t>Not financial or tax advice. Tax rules differ by country — check with a local professional. See LIMITS.md.</t>
        </is>
      </c>
    </row>
  </sheetData>
  <mergeCells count="33">
    <mergeCell ref="A24:B24"/>
    <mergeCell ref="A30:B30"/>
    <mergeCell ref="A15:B15"/>
    <mergeCell ref="A11:B11"/>
    <mergeCell ref="A1:B1"/>
    <mergeCell ref="A6:B6"/>
    <mergeCell ref="A16:B16"/>
    <mergeCell ref="A7:B7"/>
    <mergeCell ref="A25:B25"/>
    <mergeCell ref="A37:B37"/>
    <mergeCell ref="A27:B27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29:B29"/>
    <mergeCell ref="A19:B19"/>
    <mergeCell ref="A10:B10"/>
    <mergeCell ref="A28:B28"/>
    <mergeCell ref="A13:B13"/>
    <mergeCell ref="A31:B31"/>
    <mergeCell ref="A34:B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</cols>
  <sheetData>
    <row r="1">
      <c r="A1" s="1" t="inlineStr">
        <is>
          <t>INCOME-FLOOR</t>
        </is>
      </c>
    </row>
    <row r="2"/>
    <row r="3">
      <c r="A3" s="2" t="inlineStr">
        <is>
          <t>Enter your last 3–6 months of gross income (yellow cells). Everything else is computed. Salary rule: average month minus a safety buffer — never sized from your best month.</t>
        </is>
      </c>
    </row>
    <row r="4"/>
    <row r="5">
      <c r="A5" s="7" t="inlineStr">
        <is>
          <t>Month</t>
        </is>
      </c>
      <c r="B5" s="7" t="inlineStr">
        <is>
          <t>Gross income received (USD)</t>
        </is>
      </c>
    </row>
    <row r="6">
      <c r="A6" s="8" t="inlineStr">
        <is>
          <t>Month 1</t>
        </is>
      </c>
      <c r="B6" s="9" t="n">
        <v>11800</v>
      </c>
    </row>
    <row r="7">
      <c r="A7" s="8" t="inlineStr">
        <is>
          <t>Month 2</t>
        </is>
      </c>
      <c r="B7" s="9" t="n">
        <v>2100</v>
      </c>
    </row>
    <row r="8">
      <c r="A8" s="8" t="inlineStr">
        <is>
          <t>Month 3</t>
        </is>
      </c>
      <c r="B8" s="9" t="n">
        <v>8400</v>
      </c>
    </row>
    <row r="9">
      <c r="A9" s="8" t="inlineStr">
        <is>
          <t>Month 4</t>
        </is>
      </c>
      <c r="B9" s="9" t="n">
        <v>3600</v>
      </c>
    </row>
    <row r="10">
      <c r="A10" s="8" t="inlineStr">
        <is>
          <t>Month 5</t>
        </is>
      </c>
      <c r="B10" s="9" t="n">
        <v>7200</v>
      </c>
    </row>
    <row r="11">
      <c r="A11" s="8" t="inlineStr">
        <is>
          <t>Month 6</t>
        </is>
      </c>
      <c r="B11" s="9" t="n">
        <v>5100</v>
      </c>
    </row>
    <row r="12"/>
    <row r="13">
      <c r="A13" s="3" t="inlineStr">
        <is>
          <t>Your numbers (computed)</t>
        </is>
      </c>
    </row>
    <row r="14">
      <c r="A14" s="8" t="inlineStr">
        <is>
          <t>Months with data</t>
        </is>
      </c>
      <c r="B14" s="10">
        <f>COUNTA(B6:B11)</f>
        <v/>
      </c>
    </row>
    <row r="15">
      <c r="A15" s="8" t="inlineStr">
        <is>
          <t>Total income</t>
        </is>
      </c>
      <c r="B15" s="11">
        <f>SUM(B6:B11)</f>
        <v/>
      </c>
    </row>
    <row r="16">
      <c r="A16" s="8" t="inlineStr">
        <is>
          <t>Average month</t>
        </is>
      </c>
      <c r="B16" s="11">
        <f>IF(B14&gt;0,B15/B14,0)</f>
        <v/>
      </c>
    </row>
    <row r="17">
      <c r="A17" s="8" t="inlineStr">
        <is>
          <t>Best month</t>
        </is>
      </c>
      <c r="B17" s="11">
        <f>IF(B14&gt;0,MAX(B6:B11),0)</f>
        <v/>
      </c>
    </row>
    <row r="18">
      <c r="A18" s="8" t="inlineStr">
        <is>
          <t>Worst month</t>
        </is>
      </c>
      <c r="B18" s="11">
        <f>IF(B14&gt;0,MIN(B6:B11),0)</f>
        <v/>
      </c>
    </row>
    <row r="19"/>
    <row r="20">
      <c r="A20" s="3" t="inlineStr">
        <is>
          <t>Your inputs</t>
        </is>
      </c>
    </row>
    <row r="21">
      <c r="A21" s="8" t="inlineStr">
        <is>
          <t>Baseline monthly expenses — your income floor (USD)</t>
        </is>
      </c>
      <c r="B21" s="9" t="n">
        <v>3900</v>
      </c>
    </row>
    <row r="22">
      <c r="A22" s="8" t="inlineStr">
        <is>
          <t>Safety buffer % (0.25–0.35, example 0.30)</t>
        </is>
      </c>
      <c r="B22" s="12" t="n">
        <v>0.34</v>
      </c>
    </row>
    <row r="23"/>
    <row r="24">
      <c r="A24" s="8" t="inlineStr">
        <is>
          <t>Recommended fixed monthly salary (formula)</t>
        </is>
      </c>
      <c r="B24" s="13">
        <f>IF(B14&gt;0,ROUND(B16*(1-B22),-2),0)</f>
        <v/>
      </c>
    </row>
    <row r="25">
      <c r="A25" s="8" t="inlineStr">
        <is>
          <t>Floor check</t>
        </is>
      </c>
      <c r="B25" s="14">
        <f>IF(B14=0,"Enter income above first",IF(B24&gt;=B21,"OK — salary covers your income floor","WARNING — salary is below your income floor: raise the salary or cut baseline costs"))</f>
        <v/>
      </c>
    </row>
    <row r="26">
      <c r="A26" s="8" t="inlineStr">
        <is>
          <t>Best-month check</t>
        </is>
      </c>
      <c r="B26" s="14">
        <f>IF(B14=0,"Enter income above first",IF(B24&lt;B17,"OK — sized below your best month","WARNING — sized at or above your best month: cut the salary"))</f>
        <v/>
      </c>
    </row>
    <row r="27"/>
    <row r="28">
      <c r="A28" s="2" t="inlineStr">
        <is>
          <t>Tip: you can split the salary into two payments (1st and 15th) — the monthly total stays the same.</t>
        </is>
      </c>
    </row>
  </sheetData>
  <mergeCells count="8">
    <mergeCell ref="A20:B20"/>
    <mergeCell ref="B26"/>
    <mergeCell ref="B25"/>
    <mergeCell ref="A28:B28"/>
    <mergeCell ref="B24"/>
    <mergeCell ref="A13:B13"/>
    <mergeCell ref="A1:B1"/>
    <mergeCell ref="A3:B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8" customWidth="1" min="4" max="4"/>
    <col width="16" customWidth="1" min="5" max="5"/>
    <col width="18" customWidth="1" min="6" max="6"/>
    <col width="24" customWidth="1" min="7" max="7"/>
  </cols>
  <sheetData>
    <row r="1">
      <c r="A1" s="1" t="inlineStr">
        <is>
          <t>BUFFER-ENGINE</t>
        </is>
      </c>
    </row>
    <row r="2"/>
    <row r="3">
      <c r="A3" s="2" t="inlineStr">
        <is>
          <t>The salary pulls from INCOME-FLOOR automatically — copy nothing by hand. Set your buffer target and tax rate, then log each month's income. Pay yourself the fixed salary on the 1st — famine or feast.</t>
        </is>
      </c>
    </row>
    <row r="4"/>
    <row r="5">
      <c r="A5" s="3" t="inlineStr">
        <is>
          <t>Inputs</t>
        </is>
      </c>
    </row>
    <row r="6">
      <c r="A6" s="8" t="inlineStr">
        <is>
          <t>Monthly salary (from INCOME-FLOOR)</t>
        </is>
      </c>
      <c r="B6" s="13">
        <f>'INCOME-FLOOR'!B24</f>
        <v/>
      </c>
    </row>
    <row r="7">
      <c r="A7" s="8" t="inlineStr">
        <is>
          <t>Buffer target (months of salary)</t>
        </is>
      </c>
      <c r="B7" s="15" t="n">
        <v>3</v>
      </c>
    </row>
    <row r="8">
      <c r="A8" s="8" t="inlineStr">
        <is>
          <t>Buffer target (USD, formula)</t>
        </is>
      </c>
      <c r="B8" s="11">
        <f>B6*B7</f>
        <v/>
      </c>
    </row>
    <row r="9">
      <c r="A9" s="8" t="inlineStr">
        <is>
          <t>Starting buffer balance (USD)</t>
        </is>
      </c>
      <c r="B9" s="9" t="n">
        <v>12600</v>
      </c>
    </row>
    <row r="10">
      <c r="A10" s="8" t="inlineStr">
        <is>
          <t>Tax reserve rate</t>
        </is>
      </c>
      <c r="B10" s="12" t="n">
        <v>0.28</v>
      </c>
    </row>
    <row r="11"/>
    <row r="12">
      <c r="A12" s="3" t="inlineStr">
        <is>
          <t>Month-by-month buffer tracker</t>
        </is>
      </c>
    </row>
    <row r="13">
      <c r="A13" s="7" t="inlineStr">
        <is>
          <t>Month</t>
        </is>
      </c>
      <c r="B13" s="7" t="inlineStr">
        <is>
          <t>Income in (USD)</t>
        </is>
      </c>
      <c r="C13" s="7" t="inlineStr">
        <is>
          <t>Tax moved to reserve (formula)</t>
        </is>
      </c>
      <c r="D13" s="7" t="inlineStr">
        <is>
          <t>Net to buffer (formula)</t>
        </is>
      </c>
      <c r="E13" s="7" t="inlineStr">
        <is>
          <t>Salary paid (formula)</t>
        </is>
      </c>
      <c r="F13" s="7" t="inlineStr">
        <is>
          <t>Buffer balance (formula)</t>
        </is>
      </c>
      <c r="G13" s="7" t="inlineStr">
        <is>
          <t>Status (formula)</t>
        </is>
      </c>
    </row>
    <row r="14">
      <c r="A14" s="8" t="inlineStr">
        <is>
          <t>Month 1</t>
        </is>
      </c>
      <c r="B14" s="9" t="n">
        <v>5100</v>
      </c>
      <c r="C14" s="11">
        <f>B14*$B$10</f>
        <v/>
      </c>
      <c r="D14" s="11">
        <f>B14-C14</f>
        <v/>
      </c>
      <c r="E14" s="11">
        <f>$B$6</f>
        <v/>
      </c>
      <c r="F14" s="11">
        <f>$B$9+D14-E14</f>
        <v/>
      </c>
      <c r="G14" s="14">
        <f>IF($B$6&lt;=0,"Enter income above first",IF(F14&gt;=2*$B$6,"STRONG",IF(F14&gt;=$B$6,"OK",IF(F14&gt;=0,"THIN — build it up","DANGER — below zero"))))</f>
        <v/>
      </c>
    </row>
    <row r="15">
      <c r="A15" s="8" t="inlineStr">
        <is>
          <t>Month 2</t>
        </is>
      </c>
      <c r="B15" s="9" t="n">
        <v>11800</v>
      </c>
      <c r="C15" s="11">
        <f>B15*$B$10</f>
        <v/>
      </c>
      <c r="D15" s="11">
        <f>B15-C15</f>
        <v/>
      </c>
      <c r="E15" s="11">
        <f>$B$6</f>
        <v/>
      </c>
      <c r="F15" s="11">
        <f>F14+D15-E15</f>
        <v/>
      </c>
      <c r="G15" s="14">
        <f>IF($B$6&lt;=0,"Enter income above first",IF(F15&gt;=2*$B$6,"STRONG",IF(F15&gt;=$B$6,"OK",IF(F15&gt;=0,"THIN — build it up","DANGER — below zero"))))</f>
        <v/>
      </c>
    </row>
    <row r="16">
      <c r="A16" s="8" t="inlineStr">
        <is>
          <t>Month 3</t>
        </is>
      </c>
      <c r="B16" s="9" t="n">
        <v>2100</v>
      </c>
      <c r="C16" s="11">
        <f>B16*$B$10</f>
        <v/>
      </c>
      <c r="D16" s="11">
        <f>B16-C16</f>
        <v/>
      </c>
      <c r="E16" s="11">
        <f>$B$6</f>
        <v/>
      </c>
      <c r="F16" s="11">
        <f>F15+D16-E16</f>
        <v/>
      </c>
      <c r="G16" s="14">
        <f>IF($B$6&lt;=0,"Enter income above first",IF(F16&gt;=2*$B$6,"STRONG",IF(F16&gt;=$B$6,"OK",IF(F16&gt;=0,"THIN — build it up","DANGER — below zero"))))</f>
        <v/>
      </c>
    </row>
    <row r="17">
      <c r="A17" s="8" t="inlineStr">
        <is>
          <t>Month 4</t>
        </is>
      </c>
      <c r="B17" s="9" t="n">
        <v>3600</v>
      </c>
      <c r="C17" s="11">
        <f>B17*$B$10</f>
        <v/>
      </c>
      <c r="D17" s="11">
        <f>B17-C17</f>
        <v/>
      </c>
      <c r="E17" s="11">
        <f>$B$6</f>
        <v/>
      </c>
      <c r="F17" s="11">
        <f>F16+D17-E17</f>
        <v/>
      </c>
      <c r="G17" s="14">
        <f>IF($B$6&lt;=0,"Enter income above first",IF(F17&gt;=2*$B$6,"STRONG",IF(F17&gt;=$B$6,"OK",IF(F17&gt;=0,"THIN — build it up","DANGER — below zero"))))</f>
        <v/>
      </c>
    </row>
    <row r="18"/>
    <row r="19">
      <c r="A19" s="16" t="inlineStr">
        <is>
          <t>Buffer vs target</t>
        </is>
      </c>
      <c r="B19" s="14">
        <f>IF($B$6&lt;=0,"Enter income above first",IF(F17&gt;=B8,"TARGET MET — buffer is full","BUILDING — keep the salary fixed and keep going"))</f>
        <v/>
      </c>
    </row>
  </sheetData>
  <mergeCells count="4">
    <mergeCell ref="A3:G3"/>
    <mergeCell ref="A1:G1"/>
    <mergeCell ref="A5:G5"/>
    <mergeCell ref="A12:G1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TAX-RESERVE</t>
        </is>
      </c>
    </row>
    <row r="2"/>
    <row r="3">
      <c r="A3" s="2" t="inlineStr">
        <is>
          <t>Log every payment the day it arrives. Move the tax % to a separate account immediately — the sheet computes the amounts. Quarterly deadlines below are a US example: confirm your country's dates.</t>
        </is>
      </c>
    </row>
    <row r="4"/>
    <row r="5">
      <c r="A5" s="8" t="inlineStr">
        <is>
          <t>Tax reserve rate</t>
        </is>
      </c>
      <c r="B5" s="12" t="n">
        <v>0.28</v>
      </c>
    </row>
    <row r="6"/>
    <row r="7">
      <c r="A7" s="3" t="inlineStr">
        <is>
          <t>Payment log</t>
        </is>
      </c>
    </row>
    <row r="8">
      <c r="A8" s="7" t="inlineStr">
        <is>
          <t>Date</t>
        </is>
      </c>
      <c r="B8" s="7" t="inlineStr">
        <is>
          <t>Paid by / invoice #</t>
        </is>
      </c>
      <c r="C8" s="7" t="inlineStr">
        <is>
          <t>Gross (USD)</t>
        </is>
      </c>
      <c r="D8" s="7" t="inlineStr">
        <is>
          <t>Tax set-aside (formula)</t>
        </is>
      </c>
      <c r="E8" s="7" t="inlineStr">
        <is>
          <t>To buffer account (formula)</t>
        </is>
      </c>
    </row>
    <row r="9">
      <c r="A9" s="17" t="inlineStr">
        <is>
          <t>2026-09-05</t>
        </is>
      </c>
      <c r="B9" s="17" t="inlineStr">
        <is>
          <t>Client A / INV-1042</t>
        </is>
      </c>
      <c r="C9" s="9" t="n">
        <v>5100</v>
      </c>
      <c r="D9" s="11">
        <f>C9*$B$5</f>
        <v/>
      </c>
      <c r="E9" s="11">
        <f>C9-D9</f>
        <v/>
      </c>
    </row>
    <row r="10">
      <c r="A10" s="17" t="inlineStr">
        <is>
          <t>2026-09-19</t>
        </is>
      </c>
      <c r="B10" s="17" t="inlineStr">
        <is>
          <t>Client B / INV-1051</t>
        </is>
      </c>
      <c r="C10" s="9" t="n">
        <v>3100</v>
      </c>
      <c r="D10" s="11">
        <f>C10*$B$5</f>
        <v/>
      </c>
      <c r="E10" s="11">
        <f>C10-D10</f>
        <v/>
      </c>
    </row>
    <row r="11"/>
    <row r="12">
      <c r="A12" s="18" t="inlineStr">
        <is>
          <t>Totals (formulas)</t>
        </is>
      </c>
      <c r="C12" s="19">
        <f>SUM(C9:C10)</f>
        <v/>
      </c>
      <c r="D12" s="19">
        <f>SUM(D9:D10)</f>
        <v/>
      </c>
      <c r="E12" s="19">
        <f>SUM(E9:E10)</f>
        <v/>
      </c>
    </row>
    <row r="13"/>
    <row r="14">
      <c r="A14" s="3" t="inlineStr">
        <is>
          <t>Quarterly estimated-tax deadlines (US example — your country may differ)</t>
        </is>
      </c>
    </row>
    <row r="15">
      <c r="A15" s="7" t="inlineStr">
        <is>
          <t>Quarter</t>
        </is>
      </c>
      <c r="B15" s="7" t="inlineStr">
        <is>
          <t>Typical US deadline</t>
        </is>
      </c>
      <c r="C15" s="7" t="inlineStr">
        <is>
          <t>Status</t>
        </is>
      </c>
    </row>
    <row r="16">
      <c r="A16" s="8" t="inlineStr">
        <is>
          <t>Q1</t>
        </is>
      </c>
      <c r="B16" s="8" t="inlineStr">
        <is>
          <t>Apr 15</t>
        </is>
      </c>
      <c r="C16" s="17" t="n"/>
    </row>
    <row r="17">
      <c r="A17" s="8" t="inlineStr">
        <is>
          <t>Q2</t>
        </is>
      </c>
      <c r="B17" s="8" t="inlineStr">
        <is>
          <t>Jun 15</t>
        </is>
      </c>
      <c r="C17" s="17" t="n"/>
    </row>
    <row r="18">
      <c r="A18" s="8" t="inlineStr">
        <is>
          <t>Q3</t>
        </is>
      </c>
      <c r="B18" s="8" t="inlineStr">
        <is>
          <t>Sep 15</t>
        </is>
      </c>
      <c r="C18" s="17" t="n"/>
    </row>
    <row r="19">
      <c r="A19" s="8" t="inlineStr">
        <is>
          <t>Q4</t>
        </is>
      </c>
      <c r="B19" s="8" t="inlineStr">
        <is>
          <t>Jan 15 (next year)</t>
        </is>
      </c>
      <c r="C19" s="17" t="n"/>
    </row>
  </sheetData>
  <mergeCells count="4">
    <mergeCell ref="A14:E14"/>
    <mergeCell ref="A1:E1"/>
    <mergeCell ref="A7:E7"/>
    <mergeCell ref="A3:E3"/>
  </mergeCells>
  <dataValidations count="1">
    <dataValidation sqref="C16:C19" showDropDown="0" showInputMessage="0" showErrorMessage="0" allowBlank="1" error="Pick DONE or PENDING" prompt="Pick DONE or PENDING" type="list">
      <formula1>"DONE,PENDING"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1" t="inlineStr">
        <is>
          <t>FEAST-FAMINE-PLAN</t>
        </is>
      </c>
    </row>
    <row r="2"/>
    <row r="3">
      <c r="A3" s="2" t="inlineStr">
        <is>
          <t>Two protocols, no improvising. When a big month lands, run the feast list. When income dries up, run the famine list. Mark each step DONE as you do it.</t>
        </is>
      </c>
    </row>
    <row r="4">
      <c r="A4" s="3" t="inlineStr">
        <is>
          <t>FEAST-MONTH PROTOCOL — big month landed</t>
        </is>
      </c>
    </row>
    <row r="5">
      <c r="A5" s="7" t="inlineStr">
        <is>
          <t>Step</t>
        </is>
      </c>
      <c r="B5" s="7" t="inlineStr">
        <is>
          <t>Status</t>
        </is>
      </c>
    </row>
    <row r="6">
      <c r="A6" s="14" t="inlineStr">
        <is>
          <t>Move the tax % to the tax account the day the money lands.</t>
        </is>
      </c>
      <c r="B6" s="17" t="inlineStr">
        <is>
          <t>DONE</t>
        </is>
      </c>
    </row>
    <row r="7">
      <c r="A7" s="14" t="inlineStr">
        <is>
          <t>Pay your normal salary — not a bigger one.</t>
        </is>
      </c>
      <c r="B7" s="17" t="inlineStr">
        <is>
          <t>DONE</t>
        </is>
      </c>
    </row>
    <row r="8">
      <c r="A8" s="14" t="inlineStr">
        <is>
          <t>Refill the buffer up to its target.</t>
        </is>
      </c>
      <c r="B8" s="17" t="inlineStr">
        <is>
          <t>DONE</t>
        </is>
      </c>
    </row>
    <row r="9">
      <c r="A9" s="14" t="inlineStr">
        <is>
          <t>Extra goes to debt, the emergency fund, or savings — in that order.</t>
        </is>
      </c>
      <c r="B9" s="17" t="inlineStr">
        <is>
          <t>DONE</t>
        </is>
      </c>
    </row>
    <row r="10">
      <c r="A10" s="14" t="inlineStr">
        <is>
          <t>No salary raise until the buffer held steady for 3 months.</t>
        </is>
      </c>
      <c r="B10" s="17" t="inlineStr">
        <is>
          <t>DONE</t>
        </is>
      </c>
    </row>
    <row r="11">
      <c r="A11" t="inlineStr">
        <is>
          <t>Protocol readiness</t>
        </is>
      </c>
      <c r="B11" s="20">
        <f>COUNTIF(B6:B10,"DONE")&amp;"/5"</f>
        <v/>
      </c>
    </row>
    <row r="12"/>
    <row r="13">
      <c r="A13" s="3" t="inlineStr">
        <is>
          <t>FAMINE-MONTH PROTOCOL — income dried up</t>
        </is>
      </c>
    </row>
    <row r="14">
      <c r="A14" s="7" t="inlineStr">
        <is>
          <t>Step</t>
        </is>
      </c>
      <c r="B14" s="7" t="inlineStr">
        <is>
          <t>Status</t>
        </is>
      </c>
    </row>
    <row r="15">
      <c r="A15" s="14" t="inlineStr">
        <is>
          <t>Salary unchanged — it is paid from the buffer.</t>
        </is>
      </c>
      <c r="B15" s="17" t="inlineStr">
        <is>
          <t>DONE</t>
        </is>
      </c>
    </row>
    <row r="16">
      <c r="A16" s="14" t="inlineStr">
        <is>
          <t>Cut discretionary spending back to the income floor.</t>
        </is>
      </c>
      <c r="B16" s="17" t="inlineStr">
        <is>
          <t>DONE</t>
        </is>
      </c>
    </row>
    <row r="17">
      <c r="A17" s="14" t="inlineStr">
        <is>
          <t>Chase overdue invoices today (polite follow-up + new due date).</t>
        </is>
      </c>
      <c r="B17" s="17" t="inlineStr">
        <is>
          <t>DONE</t>
        </is>
      </c>
    </row>
    <row r="18">
      <c r="A18" s="14" t="inlineStr">
        <is>
          <t>Pipeline outreach: contact 5 prospects this week.</t>
        </is>
      </c>
      <c r="B18" s="17" t="inlineStr">
        <is>
          <t>PENDING</t>
        </is>
      </c>
    </row>
    <row r="19">
      <c r="A19" s="14" t="inlineStr">
        <is>
          <t>Ask the hard question: raise rates or add a monthly retainer?</t>
        </is>
      </c>
      <c r="B19" s="17" t="inlineStr">
        <is>
          <t>PENDING</t>
        </is>
      </c>
    </row>
    <row r="20">
      <c r="A20" t="inlineStr">
        <is>
          <t>Protocol readiness</t>
        </is>
      </c>
      <c r="B20" s="20">
        <f>COUNTIF(B15:B19,"DONE")&amp;"/5"</f>
        <v/>
      </c>
    </row>
  </sheetData>
  <mergeCells count="4">
    <mergeCell ref="A4:B4"/>
    <mergeCell ref="A13:B13"/>
    <mergeCell ref="A3:B3"/>
    <mergeCell ref="A1:B1"/>
  </mergeCells>
  <dataValidations count="2">
    <dataValidation sqref="B6:B10" showDropDown="0" showInputMessage="0" showErrorMessage="0" allowBlank="1" error="Pick DONE or PENDING" prompt="Pick DONE or PENDING" type="list">
      <formula1>"DONE,PENDING"</formula1>
    </dataValidation>
    <dataValidation sqref="B15:B19" showDropDown="0" showInputMessage="0" showErrorMessage="0" allowBlank="1" error="Pick DONE or PENDING" prompt="Pick DONE or PENDING" type="list">
      <formula1>"DONE,PENDING"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</cols>
  <sheetData>
    <row r="1">
      <c r="A1" s="1" t="inlineStr">
        <is>
          <t>RUNWAY-GAUGE</t>
        </is>
      </c>
    </row>
    <row r="2"/>
    <row r="3">
      <c r="A3" s="2" t="inlineStr">
        <is>
          <t>Runway = available cash ÷ monthly burn. Update the two yellow cells monthly. The verdict is automatic.</t>
        </is>
      </c>
    </row>
    <row r="4"/>
    <row r="5"/>
    <row r="6">
      <c r="A6" s="8" t="inlineStr">
        <is>
          <t>Available cash — all accounts (USD)</t>
        </is>
      </c>
      <c r="B6" s="9" t="n">
        <v>18500</v>
      </c>
    </row>
    <row r="7">
      <c r="A7" s="8" t="inlineStr">
        <is>
          <t>Monthly burn — must-cover expenses (USD)</t>
        </is>
      </c>
      <c r="B7" s="9" t="n">
        <v>3900</v>
      </c>
    </row>
    <row r="8"/>
    <row r="9">
      <c r="A9" s="8" t="inlineStr">
        <is>
          <t>Runway (months, formula)</t>
        </is>
      </c>
      <c r="B9" s="21">
        <f>IF(B7&gt;0,B6/B7,0)</f>
        <v/>
      </c>
    </row>
    <row r="10"/>
    <row r="11">
      <c r="A11" s="8" t="inlineStr">
        <is>
          <t>Verdict (formula)</t>
        </is>
      </c>
      <c r="B11" s="22">
        <f>IF(B7&lt;=0,"Enter your monthly burn above",IF(B9&gt;=6,"STRONG — 6+ months of runway",IF(B9&gt;=3,"STABLE — 3–6 months, keep building the buffer",IF(B9&gt;=1,"THIN — under 3 months, refill the buffer","CRITICAL — under 1 month: cut to the floor, chase invoices now"))))</f>
        <v/>
      </c>
    </row>
  </sheetData>
  <mergeCells count="2">
    <mergeCell ref="A3:B3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16" customWidth="1" min="3" max="3"/>
  </cols>
  <sheetData>
    <row r="1">
      <c r="A1" s="1" t="inlineStr">
        <is>
          <t>MONTHLY-REVIEW</t>
        </is>
      </c>
    </row>
    <row r="2"/>
    <row r="3">
      <c r="A3" s="2" t="inlineStr">
        <is>
          <t>30 minutes, once a month, same date. Work top to bottom, mark each DONE. The completion % is automatic.</t>
        </is>
      </c>
    </row>
    <row r="4">
      <c r="A4" s="7" t="inlineStr">
        <is>
          <t>#</t>
        </is>
      </c>
      <c r="B4" s="7" t="inlineStr">
        <is>
          <t>Review item</t>
        </is>
      </c>
      <c r="C4" s="7" t="inlineStr">
        <is>
          <t>Status</t>
        </is>
      </c>
    </row>
    <row r="5">
      <c r="A5" s="8" t="n">
        <v>1</v>
      </c>
      <c r="B5" s="14" t="inlineStr">
        <is>
          <t>Log every payment received this month on TAX-RESERVE.</t>
        </is>
      </c>
      <c r="C5" s="17" t="inlineStr">
        <is>
          <t>DONE</t>
        </is>
      </c>
    </row>
    <row r="6">
      <c r="A6" s="8" t="n">
        <v>2</v>
      </c>
      <c r="B6" s="14" t="inlineStr">
        <is>
          <t>Confirm the tax set-aside moved for each payment.</t>
        </is>
      </c>
      <c r="C6" s="17" t="inlineStr">
        <is>
          <t>DONE</t>
        </is>
      </c>
    </row>
    <row r="7">
      <c r="A7" s="8" t="n">
        <v>3</v>
      </c>
      <c r="B7" s="14" t="inlineStr">
        <is>
          <t>Pay yourself the fixed salary on the 1st.</t>
        </is>
      </c>
      <c r="C7" s="17" t="inlineStr">
        <is>
          <t>DONE</t>
        </is>
      </c>
    </row>
    <row r="8">
      <c r="A8" s="8" t="n">
        <v>4</v>
      </c>
      <c r="B8" s="14" t="inlineStr">
        <is>
          <t>Check the buffer balance against its target on BUFFER-ENGINE.</t>
        </is>
      </c>
      <c r="C8" s="17" t="inlineStr">
        <is>
          <t>DONE</t>
        </is>
      </c>
    </row>
    <row r="9">
      <c r="A9" s="8" t="n">
        <v>5</v>
      </c>
      <c r="B9" s="14" t="inlineStr">
        <is>
          <t>Check the runway gauge.</t>
        </is>
      </c>
      <c r="C9" s="17" t="inlineStr">
        <is>
          <t>DONE</t>
        </is>
      </c>
    </row>
    <row r="10">
      <c r="A10" s="8" t="n">
        <v>6</v>
      </c>
      <c r="B10" s="14" t="inlineStr">
        <is>
          <t>Chase every invoice overdue by 14+ days.</t>
        </is>
      </c>
      <c r="C10" s="17" t="inlineStr">
        <is>
          <t>DONE</t>
        </is>
      </c>
    </row>
    <row r="11">
      <c r="A11" s="8" t="n">
        <v>7</v>
      </c>
      <c r="B11" s="14" t="inlineStr">
        <is>
          <t>Note the next quarterly tax deadline.</t>
        </is>
      </c>
      <c r="C11" s="17" t="inlineStr">
        <is>
          <t>DONE</t>
        </is>
      </c>
    </row>
    <row r="12">
      <c r="A12" s="8" t="n">
        <v>8</v>
      </c>
      <c r="B12" s="14" t="inlineStr">
        <is>
          <t>One line in your notes: what did this month teach you?</t>
        </is>
      </c>
      <c r="C12" s="17" t="inlineStr">
        <is>
          <t>DONE</t>
        </is>
      </c>
    </row>
    <row r="13"/>
    <row r="14">
      <c r="A14" t="inlineStr">
        <is>
          <t>Completion (formula)</t>
        </is>
      </c>
      <c r="B14" s="23">
        <f>COUNTIF(C5:C12,"DONE")/8</f>
        <v/>
      </c>
    </row>
    <row r="15">
      <c r="A15" t="inlineStr">
        <is>
          <t>Review date</t>
        </is>
      </c>
      <c r="B15" s="17" t="inlineStr">
        <is>
          <t>2026-10-01</t>
        </is>
      </c>
    </row>
  </sheetData>
  <mergeCells count="2">
    <mergeCell ref="A1:C1"/>
    <mergeCell ref="A3:C3"/>
  </mergeCells>
  <dataValidations count="1">
    <dataValidation sqref="C5:C12" showDropDown="0" showInputMessage="0" showErrorMessage="0" allowBlank="1" error="Pick DONE or PENDING" prompt="Pick DONE or PENDING" type="list">
      <formula1>"DONE,PENDING"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8" customWidth="1" min="4" max="4"/>
    <col width="16" customWidth="1" min="5" max="5"/>
    <col width="18" customWidth="1" min="6" max="6"/>
    <col width="26" customWidth="1" min="7" max="7"/>
  </cols>
  <sheetData>
    <row r="1">
      <c r="A1" s="1" t="inlineStr">
        <is>
          <t>WORKED-EXAMPLE</t>
        </is>
      </c>
    </row>
    <row r="2">
      <c r="A2" s="2" t="inlineStr">
        <is>
          <t>FICTIONAL example — Priya, freelance UX writer. All numbers illustrate the method; they are not financial advice.</t>
        </is>
      </c>
    </row>
    <row r="3"/>
    <row r="4">
      <c r="A4" s="3" t="inlineStr">
        <is>
          <t>1) Income floor → salary</t>
        </is>
      </c>
    </row>
    <row r="5">
      <c r="A5" s="20" t="inlineStr">
        <is>
          <t>Income history (6 months, USD)</t>
        </is>
      </c>
    </row>
    <row r="6">
      <c r="A6" s="7" t="inlineStr">
        <is>
          <t>Month</t>
        </is>
      </c>
      <c r="B6" s="7" t="inlineStr">
        <is>
          <t>Gross income received (USD)</t>
        </is>
      </c>
    </row>
    <row r="7">
      <c r="A7" s="8" t="inlineStr">
        <is>
          <t>Month 1</t>
        </is>
      </c>
      <c r="B7" s="11" t="n">
        <v>11800</v>
      </c>
    </row>
    <row r="8">
      <c r="A8" s="8" t="inlineStr">
        <is>
          <t>Month 2</t>
        </is>
      </c>
      <c r="B8" s="11" t="n">
        <v>2100</v>
      </c>
    </row>
    <row r="9">
      <c r="A9" s="8" t="inlineStr">
        <is>
          <t>Month 3</t>
        </is>
      </c>
      <c r="B9" s="11" t="n">
        <v>8400</v>
      </c>
    </row>
    <row r="10">
      <c r="A10" s="8" t="inlineStr">
        <is>
          <t>Month 4</t>
        </is>
      </c>
      <c r="B10" s="11" t="n">
        <v>3600</v>
      </c>
    </row>
    <row r="11">
      <c r="A11" s="8" t="inlineStr">
        <is>
          <t>Month 5</t>
        </is>
      </c>
      <c r="B11" s="11" t="n">
        <v>7200</v>
      </c>
    </row>
    <row r="12">
      <c r="A12" s="8" t="inlineStr">
        <is>
          <t>Month 6</t>
        </is>
      </c>
      <c r="B12" s="11" t="n">
        <v>5100</v>
      </c>
    </row>
    <row r="13">
      <c r="A13" s="8" t="inlineStr">
        <is>
          <t>Total income</t>
        </is>
      </c>
      <c r="B13" s="11">
        <f>SUM(B7:B12)</f>
        <v/>
      </c>
    </row>
    <row r="14">
      <c r="A14" s="8" t="inlineStr">
        <is>
          <t>Average month</t>
        </is>
      </c>
      <c r="B14" s="11">
        <f>AVERAGE(B7:B12)</f>
        <v/>
      </c>
    </row>
    <row r="15">
      <c r="A15" s="8" t="inlineStr">
        <is>
          <t>Best month</t>
        </is>
      </c>
      <c r="B15" s="11">
        <f>MAX(B7:B12)</f>
        <v/>
      </c>
    </row>
    <row r="16">
      <c r="A16" s="8" t="inlineStr">
        <is>
          <t>Baseline monthly expenses — your income floor (USD)</t>
        </is>
      </c>
      <c r="B16" s="11" t="n">
        <v>3900</v>
      </c>
    </row>
    <row r="17">
      <c r="A17" s="8" t="inlineStr">
        <is>
          <t>Safety buffer % (0.25–0.35, example 0.30)</t>
        </is>
      </c>
      <c r="B17" s="24" t="n">
        <v>0.34</v>
      </c>
    </row>
    <row r="18">
      <c r="A18" s="8" t="inlineStr">
        <is>
          <t>Recommended fixed monthly salary (formula)</t>
        </is>
      </c>
      <c r="B18" s="13">
        <f>ROUND(B14*(1-B17),-2)</f>
        <v/>
      </c>
    </row>
    <row r="19">
      <c r="A19" s="8" t="inlineStr">
        <is>
          <t>Floor check</t>
        </is>
      </c>
      <c r="B19" s="25">
        <f>IF(B18&gt;=B16,"OK — salary covers your income floor","WARNING — salary is below your income floor: raise the salary or cut baseline costs")</f>
        <v/>
      </c>
    </row>
    <row r="20">
      <c r="A20" s="8" t="inlineStr">
        <is>
          <t>Best-month check</t>
        </is>
      </c>
      <c r="B20" s="25">
        <f>IF(B18&lt;B15,"OK — sized below your best month","WARNING — sized at or above your best month: cut the salary")</f>
        <v/>
      </c>
    </row>
    <row r="21"/>
    <row r="22">
      <c r="A22" s="3" t="inlineStr">
        <is>
          <t>2) Buffer engine — 4 months</t>
        </is>
      </c>
    </row>
    <row r="23">
      <c r="A23" t="inlineStr">
        <is>
          <t>Starting buffer balance (USD)</t>
        </is>
      </c>
      <c r="B23" s="26" t="n">
        <v>12600</v>
      </c>
    </row>
    <row r="24">
      <c r="A24" t="inlineStr">
        <is>
          <t>Buffer target (USD, formula)</t>
        </is>
      </c>
      <c r="B24" s="26">
        <f>$B$18*3</f>
        <v/>
      </c>
    </row>
    <row r="25">
      <c r="A25" s="7" t="inlineStr">
        <is>
          <t>Month</t>
        </is>
      </c>
      <c r="B25" s="7" t="inlineStr">
        <is>
          <t>Income in (USD)</t>
        </is>
      </c>
      <c r="C25" s="7" t="inlineStr">
        <is>
          <t>Tax moved to reserve (formula)</t>
        </is>
      </c>
      <c r="D25" s="7" t="inlineStr">
        <is>
          <t>Net to buffer (formula)</t>
        </is>
      </c>
      <c r="E25" s="7" t="inlineStr">
        <is>
          <t>Salary paid (formula)</t>
        </is>
      </c>
      <c r="F25" s="7" t="inlineStr">
        <is>
          <t>Buffer balance (formula)</t>
        </is>
      </c>
      <c r="G25" s="7" t="inlineStr">
        <is>
          <t>Status (formula)</t>
        </is>
      </c>
    </row>
    <row r="26">
      <c r="A26" s="8" t="inlineStr">
        <is>
          <t>Month 1</t>
        </is>
      </c>
      <c r="B26" s="11" t="n">
        <v>5100</v>
      </c>
      <c r="C26" s="11">
        <f>B26*0.28</f>
        <v/>
      </c>
      <c r="D26" s="11">
        <f>B26-C26</f>
        <v/>
      </c>
      <c r="E26" s="11">
        <f>$B$18</f>
        <v/>
      </c>
      <c r="F26" s="11">
        <f>$B$23+D26-E26</f>
        <v/>
      </c>
      <c r="G26" s="14">
        <f>IF(F26&gt;=2*$B$18,"STRONG",IF(F26&gt;=$B$18,"OK",IF(F26&gt;=0,"THIN — build it up","DANGER — below zero")))</f>
        <v/>
      </c>
    </row>
    <row r="27">
      <c r="A27" s="8" t="inlineStr">
        <is>
          <t>Month 2</t>
        </is>
      </c>
      <c r="B27" s="11" t="n">
        <v>11800</v>
      </c>
      <c r="C27" s="11">
        <f>B27*0.28</f>
        <v/>
      </c>
      <c r="D27" s="11">
        <f>B27-C27</f>
        <v/>
      </c>
      <c r="E27" s="11">
        <f>$B$18</f>
        <v/>
      </c>
      <c r="F27" s="11">
        <f>F26+D27-E27</f>
        <v/>
      </c>
      <c r="G27" s="14">
        <f>IF(F27&gt;=2*$B$18,"STRONG",IF(F27&gt;=$B$18,"OK",IF(F27&gt;=0,"THIN — build it up","DANGER — below zero")))</f>
        <v/>
      </c>
    </row>
    <row r="28">
      <c r="A28" s="8" t="inlineStr">
        <is>
          <t>Month 3</t>
        </is>
      </c>
      <c r="B28" s="11" t="n">
        <v>2100</v>
      </c>
      <c r="C28" s="11">
        <f>B28*0.28</f>
        <v/>
      </c>
      <c r="D28" s="11">
        <f>B28-C28</f>
        <v/>
      </c>
      <c r="E28" s="11">
        <f>$B$18</f>
        <v/>
      </c>
      <c r="F28" s="11">
        <f>F27+D28-E28</f>
        <v/>
      </c>
      <c r="G28" s="14">
        <f>IF(F28&gt;=2*$B$18,"STRONG",IF(F28&gt;=$B$18,"OK",IF(F28&gt;=0,"THIN — build it up","DANGER — below zero")))</f>
        <v/>
      </c>
    </row>
    <row r="29">
      <c r="A29" s="8" t="inlineStr">
        <is>
          <t>Month 4</t>
        </is>
      </c>
      <c r="B29" s="11" t="n">
        <v>3600</v>
      </c>
      <c r="C29" s="11">
        <f>B29*0.28</f>
        <v/>
      </c>
      <c r="D29" s="11">
        <f>B29-C29</f>
        <v/>
      </c>
      <c r="E29" s="11">
        <f>$B$18</f>
        <v/>
      </c>
      <c r="F29" s="11">
        <f>F28+D29-E29</f>
        <v/>
      </c>
      <c r="G29" s="14">
        <f>IF(F29&gt;=2*$B$18,"STRONG",IF(F29&gt;=$B$18,"OK",IF(F29&gt;=0,"THIN — build it up","DANGER — below zero")))</f>
        <v/>
      </c>
    </row>
    <row r="30"/>
    <row r="31">
      <c r="A31" s="3" t="inlineStr">
        <is>
          <t>3) Runway gauge</t>
        </is>
      </c>
    </row>
    <row r="32">
      <c r="A32" s="8" t="inlineStr">
        <is>
          <t>Available cash — all accounts (USD)</t>
        </is>
      </c>
      <c r="B32" s="11" t="n">
        <v>18500</v>
      </c>
    </row>
    <row r="33">
      <c r="A33" s="8" t="inlineStr">
        <is>
          <t>Monthly burn — must-cover expenses (USD)</t>
        </is>
      </c>
      <c r="B33" s="11" t="n">
        <v>3900</v>
      </c>
    </row>
    <row r="34">
      <c r="A34" s="8" t="inlineStr">
        <is>
          <t>Runway (months, formula)</t>
        </is>
      </c>
      <c r="B34" s="21">
        <f>IF(B33&gt;0,B32/B33,0)</f>
        <v/>
      </c>
    </row>
    <row r="35">
      <c r="A35" s="8" t="inlineStr">
        <is>
          <t>Verdict (formula)</t>
        </is>
      </c>
      <c r="B35" s="22">
        <f>IF(B33&lt;=0,"Enter your monthly burn above",IF(B34&gt;=6,"STRONG — 6+ months of runway",IF(B34&gt;=3,"STABLE — 3–6 months, keep building the buffer",IF(B34&gt;=1,"THIN — under 3 months, refill the buffer","CRITICAL — under 1 month: cut to the floor, chase invoices now"))))</f>
        <v/>
      </c>
    </row>
    <row r="36"/>
    <row r="37">
      <c r="A37" s="3" t="inlineStr">
        <is>
          <t>4) Tax reserve — 2 payments</t>
        </is>
      </c>
    </row>
    <row r="38">
      <c r="A38" s="7" t="inlineStr">
        <is>
          <t>Date</t>
        </is>
      </c>
      <c r="B38" s="7" t="inlineStr">
        <is>
          <t>Paid by / invoice #</t>
        </is>
      </c>
      <c r="C38" s="7" t="inlineStr">
        <is>
          <t>Gross (USD)</t>
        </is>
      </c>
      <c r="D38" s="7" t="inlineStr">
        <is>
          <t>Tax set-aside (formula)</t>
        </is>
      </c>
      <c r="E38" s="7" t="inlineStr">
        <is>
          <t>To buffer account (formula)</t>
        </is>
      </c>
    </row>
    <row r="39">
      <c r="A39" s="8" t="inlineStr">
        <is>
          <t>2026-09-05</t>
        </is>
      </c>
      <c r="B39" s="8" t="inlineStr">
        <is>
          <t>Client A / INV-1042</t>
        </is>
      </c>
      <c r="C39" s="11" t="n">
        <v>5100</v>
      </c>
      <c r="D39" s="11">
        <f>C39*0.28</f>
        <v/>
      </c>
      <c r="E39" s="11">
        <f>C39-D39</f>
        <v/>
      </c>
    </row>
    <row r="40">
      <c r="A40" s="8" t="inlineStr">
        <is>
          <t>2026-09-19</t>
        </is>
      </c>
      <c r="B40" s="8" t="inlineStr">
        <is>
          <t>Client B / INV-1051</t>
        </is>
      </c>
      <c r="C40" s="11" t="n">
        <v>3100</v>
      </c>
      <c r="D40" s="11">
        <f>C40*0.28</f>
        <v/>
      </c>
      <c r="E40" s="11">
        <f>C40-D40</f>
        <v/>
      </c>
    </row>
    <row r="41"/>
    <row r="42">
      <c r="A42" s="3" t="inlineStr">
        <is>
          <t>5) Monthly review</t>
        </is>
      </c>
    </row>
    <row r="43">
      <c r="A43" s="8" t="n">
        <v>1</v>
      </c>
      <c r="B43" s="14" t="inlineStr">
        <is>
          <t>Log every payment received this month on TAX-RESERVE.</t>
        </is>
      </c>
      <c r="C43" s="8" t="inlineStr">
        <is>
          <t>DONE</t>
        </is>
      </c>
    </row>
    <row r="44">
      <c r="A44" s="8" t="n">
        <v>2</v>
      </c>
      <c r="B44" s="14" t="inlineStr">
        <is>
          <t>Confirm the tax set-aside moved for each payment.</t>
        </is>
      </c>
      <c r="C44" s="8" t="inlineStr">
        <is>
          <t>DONE</t>
        </is>
      </c>
    </row>
    <row r="45">
      <c r="A45" s="8" t="n">
        <v>3</v>
      </c>
      <c r="B45" s="14" t="inlineStr">
        <is>
          <t>Pay yourself the fixed salary on the 1st.</t>
        </is>
      </c>
      <c r="C45" s="8" t="inlineStr">
        <is>
          <t>DONE</t>
        </is>
      </c>
    </row>
    <row r="46">
      <c r="A46" s="8" t="n">
        <v>4</v>
      </c>
      <c r="B46" s="14" t="inlineStr">
        <is>
          <t>Check the buffer balance against its target on BUFFER-ENGINE.</t>
        </is>
      </c>
      <c r="C46" s="8" t="inlineStr">
        <is>
          <t>DONE</t>
        </is>
      </c>
    </row>
    <row r="47">
      <c r="A47" s="8" t="n">
        <v>5</v>
      </c>
      <c r="B47" s="14" t="inlineStr">
        <is>
          <t>Check the runway gauge.</t>
        </is>
      </c>
      <c r="C47" s="8" t="inlineStr">
        <is>
          <t>DONE</t>
        </is>
      </c>
    </row>
    <row r="48">
      <c r="A48" s="8" t="n">
        <v>6</v>
      </c>
      <c r="B48" s="14" t="inlineStr">
        <is>
          <t>Chase every invoice overdue by 14+ days.</t>
        </is>
      </c>
      <c r="C48" s="8" t="inlineStr">
        <is>
          <t>DONE</t>
        </is>
      </c>
    </row>
    <row r="49">
      <c r="A49" s="8" t="n">
        <v>7</v>
      </c>
      <c r="B49" s="14" t="inlineStr">
        <is>
          <t>Note the next quarterly tax deadline.</t>
        </is>
      </c>
      <c r="C49" s="8" t="inlineStr">
        <is>
          <t>DONE</t>
        </is>
      </c>
    </row>
    <row r="50">
      <c r="A50" s="8" t="n">
        <v>8</v>
      </c>
      <c r="B50" s="14" t="inlineStr">
        <is>
          <t>One line in your notes: what did this month teach you?</t>
        </is>
      </c>
      <c r="C50" s="8" t="inlineStr">
        <is>
          <t>DONE</t>
        </is>
      </c>
    </row>
    <row r="51">
      <c r="A51" t="inlineStr">
        <is>
          <t>Completion (formula)</t>
        </is>
      </c>
      <c r="B51" s="23">
        <f>COUNTIF(C43:C50,"DONE")/8</f>
        <v/>
      </c>
    </row>
    <row r="52"/>
    <row r="53">
      <c r="A53" s="3" t="inlineStr">
        <is>
          <t>The lesson</t>
        </is>
      </c>
    </row>
    <row r="54">
      <c r="A54" s="2" t="inlineStr">
        <is>
          <t>Priya's income swung from $2,100 to $11,800, but her salary never moved from $4,200: feast months refilled the buffer, the famine month drew on it. The salary is sized from the average-minus-buffer — never from the best month — and the tax % moved the day each payment landed.</t>
        </is>
      </c>
    </row>
  </sheetData>
  <mergeCells count="10">
    <mergeCell ref="A1:G1"/>
    <mergeCell ref="A31:G31"/>
    <mergeCell ref="A22:G22"/>
    <mergeCell ref="A53:G53"/>
    <mergeCell ref="A5:B5"/>
    <mergeCell ref="A4:G4"/>
    <mergeCell ref="A2:G2"/>
    <mergeCell ref="A54:G54"/>
    <mergeCell ref="A42:G42"/>
    <mergeCell ref="A37:G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2026-10-21T08:46:15+00:00Z</dcterms:created>
  <dcterms:modified xmlns:dcterms="http://purl.org/dc/terms/" xmlns:xsi="http://www.w3.org/2001/XMLSchema-instance" xsi:type="dcterms:W3CDTF">2026-10-21T08:46:15+00:00Z</dcterms:modified>
</cp:coreProperties>
</file>